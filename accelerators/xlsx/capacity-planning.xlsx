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apacity" sheetId="2" state="visible" r:id="rId2"/>
  </sheets>
  <definedNames>
    <definedName name="_xlnm._FilterDatabase" localSheetId="1" hidden="1">'Capacity'!$A$1:$J$5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6366F1"/>
      <sz val="13"/>
    </font>
    <font>
      <name val="Calibri"/>
      <b val="1"/>
      <color rgb="006366F1"/>
      <sz val="16"/>
    </font>
    <font>
      <name val="Calibri"/>
      <i val="1"/>
      <color rgb="005A5F7A"/>
      <sz val="11"/>
    </font>
    <font>
      <name val="Calibri"/>
      <b val="1"/>
      <color rgb="001A1D2E"/>
      <sz val="12"/>
    </font>
    <font>
      <name val="Calibri"/>
      <color rgb="005A5F7A"/>
      <sz val="11"/>
    </font>
    <font>
      <name val="Calibri"/>
      <b val="1"/>
      <color rgb="006366F1"/>
      <sz val="11"/>
    </font>
    <font>
      <name val="Calibri"/>
      <b val="1"/>
      <color rgb="001A1D2E"/>
      <sz val="11"/>
    </font>
    <font>
      <name val="Calibri"/>
      <color rgb="006366F1"/>
      <sz val="11"/>
    </font>
    <font>
      <name val="Calibri"/>
      <i val="1"/>
      <color rgb="00A0A4B8"/>
      <sz val="9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E5E7EF"/>
      </left>
      <right style="thin">
        <color rgb="00E5E7EF"/>
      </right>
      <top style="thin">
        <color rgb="00E5E7EF"/>
      </top>
      <bottom style="thin">
        <color rgb="00E5E7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6" t="inlineStr">
        <is>
          <t>Capacity Planning</t>
        </is>
      </c>
    </row>
    <row r="3">
      <c r="B3" s="7" t="inlineStr">
        <is>
          <t>Accélérateur PO — Calcul de charge et capacité par sprint</t>
        </is>
      </c>
    </row>
    <row r="5">
      <c r="B5" s="8" t="inlineStr">
        <is>
          <t>POURQUOI cet outil ?</t>
        </is>
      </c>
    </row>
    <row r="6">
      <c r="B6" s="9" t="inlineStr">
        <is>
          <t>Ce template calcule la capacité réelle de l'équipe par sprint.</t>
        </is>
      </c>
    </row>
    <row r="7">
      <c r="B7" s="9" t="inlineStr">
        <is>
          <t>Il prend en compte les congés, le focus factor et le niveau de séniorité.</t>
        </is>
      </c>
    </row>
    <row r="8">
      <c r="B8" s="9" t="inlineStr">
        <is>
          <t>Il évite le sur-engagement en Sprint Planning.</t>
        </is>
      </c>
    </row>
    <row r="9">
      <c r="B9" s="9" t="inlineStr">
        <is>
          <t>La vue consolidée montre la capacité totale disponible.</t>
        </is>
      </c>
    </row>
    <row r="11">
      <c r="B11" s="8" t="inlineStr">
        <is>
          <t>COMMENT l'utiliser ?</t>
        </is>
      </c>
    </row>
    <row r="12">
      <c r="B12" s="10" t="inlineStr">
        <is>
          <t>1.</t>
        </is>
      </c>
      <c r="C12" s="9" t="inlineStr">
        <is>
          <t>Listez les membres de l'équipe avec leur rôle.</t>
        </is>
      </c>
    </row>
    <row r="13">
      <c r="B13" s="10" t="inlineStr">
        <is>
          <t>2.</t>
        </is>
      </c>
      <c r="C13" s="9" t="inlineStr">
        <is>
          <t>Indiquez les jours disponibles dans le sprint (généralement 10 pour 2 semaines).</t>
        </is>
      </c>
    </row>
    <row r="14">
      <c r="B14" s="10" t="inlineStr">
        <is>
          <t>3.</t>
        </is>
      </c>
      <c r="C14" s="9" t="inlineStr">
        <is>
          <t>Renseignez les congés et absences.</t>
        </is>
      </c>
    </row>
    <row r="15">
      <c r="B15" s="10" t="inlineStr">
        <is>
          <t>4.</t>
        </is>
      </c>
      <c r="C15" s="9" t="inlineStr">
        <is>
          <t>Ajustez le Focus Factor (% du temps réellement dédié au développement).</t>
        </is>
      </c>
    </row>
    <row r="16">
      <c r="B16" s="10" t="inlineStr">
        <is>
          <t>5.</t>
        </is>
      </c>
      <c r="C16" s="9" t="inlineStr">
        <is>
          <t>La capacité en SP se calcule automatiquement.</t>
        </is>
      </c>
    </row>
    <row r="17">
      <c r="B17" s="10" t="inlineStr">
        <is>
          <t>6.</t>
        </is>
      </c>
      <c r="C17" s="9" t="inlineStr">
        <is>
          <t>Comparez le total avec les SP planifiés en Sprint Planning.</t>
        </is>
      </c>
    </row>
    <row r="19">
      <c r="B19" s="8" t="inlineStr">
        <is>
          <t>STRUCTURE des onglets</t>
        </is>
      </c>
    </row>
    <row r="20">
      <c r="B20" s="11" t="inlineStr">
        <is>
          <t>Capacity</t>
        </is>
      </c>
      <c r="C20" s="9" t="inlineStr">
        <is>
          <t>Tableau de capacité avec calcul automatique par membre et total.</t>
        </is>
      </c>
    </row>
    <row r="22">
      <c r="B22" s="8" t="inlineStr">
        <is>
          <t>TIPS &amp; BONNES PRATIQUES</t>
        </is>
      </c>
    </row>
    <row r="23">
      <c r="B23" s="12" t="inlineStr">
        <is>
          <t>→</t>
        </is>
      </c>
      <c r="C23" s="9" t="inlineStr">
        <is>
          <t>Un Focus Factor réaliste est de 60-75% (réunions, support, etc.).</t>
        </is>
      </c>
    </row>
    <row r="24">
      <c r="B24" s="12" t="inlineStr">
        <is>
          <t>→</t>
        </is>
      </c>
      <c r="C24" s="9" t="inlineStr">
        <is>
          <t>Un dev junior produit environ 60% d'un dev senior (coefficient intégré).</t>
        </is>
      </c>
    </row>
    <row r="25">
      <c r="B25" s="12" t="inlineStr">
        <is>
          <t>→</t>
        </is>
      </c>
      <c r="C25" s="9" t="inlineStr">
        <is>
          <t>Ne planifiez jamais à 100% de la capacité — visez 80%.</t>
        </is>
      </c>
    </row>
    <row r="26">
      <c r="B26" s="12" t="inlineStr">
        <is>
          <t>→</t>
        </is>
      </c>
      <c r="C26" s="9" t="inlineStr">
        <is>
          <t>Réévaluez le Focus Factor tous les trimestres.</t>
        </is>
      </c>
    </row>
    <row r="29">
      <c r="B29" s="13" t="inlineStr">
        <is>
          <t>PO Ultimate Toolkit</t>
        </is>
      </c>
    </row>
  </sheetData>
  <mergeCells count="4">
    <mergeCell ref="B8:C8"/>
    <mergeCell ref="B6:C6"/>
    <mergeCell ref="B9:C9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Membre</t>
        </is>
      </c>
      <c r="B1" s="1" t="inlineStr">
        <is>
          <t>Role</t>
        </is>
      </c>
      <c r="C1" s="1" t="inlineStr">
        <is>
          <t>Sprint</t>
        </is>
      </c>
      <c r="D1" s="1" t="inlineStr">
        <is>
          <t>Jours dispo</t>
        </is>
      </c>
      <c r="E1" s="1" t="inlineStr">
        <is>
          <t>Conges</t>
        </is>
      </c>
      <c r="F1" s="1" t="inlineStr">
        <is>
          <t>Jours effectifs</t>
        </is>
      </c>
      <c r="G1" s="1" t="inlineStr">
        <is>
          <t>Focus %</t>
        </is>
      </c>
      <c r="H1" s="1" t="inlineStr">
        <is>
          <t>Capacite SP</t>
        </is>
      </c>
      <c r="I1" s="1" t="inlineStr">
        <is>
          <t>Allocation</t>
        </is>
      </c>
      <c r="J1" s="1" t="inlineStr">
        <is>
          <t>Notes</t>
        </is>
      </c>
    </row>
    <row r="2">
      <c r="A2" s="2" t="inlineStr">
        <is>
          <t>Alice Martin</t>
        </is>
      </c>
      <c r="B2" s="2" t="inlineStr">
        <is>
          <t>Dev Senior</t>
        </is>
      </c>
      <c r="C2" s="2" t="inlineStr">
        <is>
          <t>Sprint 5</t>
        </is>
      </c>
      <c r="D2" s="2" t="n">
        <v>10</v>
      </c>
      <c r="E2" s="2" t="n">
        <v>0</v>
      </c>
      <c r="F2" s="2">
        <f>D2-E2</f>
        <v/>
      </c>
      <c r="G2" s="2" t="n">
        <v>70</v>
      </c>
      <c r="H2" s="2">
        <f>ROUND(F2*(G2/100),1)</f>
        <v/>
      </c>
      <c r="I2" s="2" t="inlineStr">
        <is>
          <t>Feature A</t>
        </is>
      </c>
      <c r="J2" s="2" t="inlineStr"/>
    </row>
    <row r="3">
      <c r="A3" s="3" t="inlineStr">
        <is>
          <t>Bob Dupont</t>
        </is>
      </c>
      <c r="B3" s="3" t="inlineStr">
        <is>
          <t>Dev Junior</t>
        </is>
      </c>
      <c r="C3" s="3" t="inlineStr">
        <is>
          <t>Sprint 5</t>
        </is>
      </c>
      <c r="D3" s="3" t="n">
        <v>10</v>
      </c>
      <c r="E3" s="3" t="n">
        <v>2</v>
      </c>
      <c r="F3" s="3">
        <f>D3-E3</f>
        <v/>
      </c>
      <c r="G3" s="3" t="n">
        <v>60</v>
      </c>
      <c r="H3" s="3">
        <f>ROUND(F3*(G3/100),1)</f>
        <v/>
      </c>
      <c r="I3" s="3" t="inlineStr">
        <is>
          <t>Feature A</t>
        </is>
      </c>
      <c r="J3" s="3" t="inlineStr">
        <is>
          <t>Conge jeu-ven</t>
        </is>
      </c>
    </row>
    <row r="4">
      <c r="A4" s="2" t="inlineStr">
        <is>
          <t>Clara Leroy</t>
        </is>
      </c>
      <c r="B4" s="2" t="inlineStr">
        <is>
          <t>QA</t>
        </is>
      </c>
      <c r="C4" s="2" t="inlineStr">
        <is>
          <t>Sprint 5</t>
        </is>
      </c>
      <c r="D4" s="2" t="n">
        <v>10</v>
      </c>
      <c r="E4" s="2" t="n">
        <v>0</v>
      </c>
      <c r="F4" s="2">
        <f>D4-E4</f>
        <v/>
      </c>
      <c r="G4" s="2" t="n">
        <v>75</v>
      </c>
      <c r="H4" s="2">
        <f>ROUND(F4*(G4/100),1)</f>
        <v/>
      </c>
      <c r="I4" s="2" t="inlineStr">
        <is>
          <t>Tests</t>
        </is>
      </c>
      <c r="J4" s="2" t="inlineStr"/>
    </row>
    <row r="5">
      <c r="A5" s="3" t="inlineStr">
        <is>
          <t>David Chen</t>
        </is>
      </c>
      <c r="B5" s="3" t="inlineStr">
        <is>
          <t>Dev Senior</t>
        </is>
      </c>
      <c r="C5" s="3" t="inlineStr">
        <is>
          <t>Sprint 5</t>
        </is>
      </c>
      <c r="D5" s="3" t="n">
        <v>10</v>
      </c>
      <c r="E5" s="3" t="n">
        <v>1</v>
      </c>
      <c r="F5" s="3">
        <f>D5-E5</f>
        <v/>
      </c>
      <c r="G5" s="3" t="n">
        <v>70</v>
      </c>
      <c r="H5" s="3">
        <f>ROUND(F5*(G5/100),1)</f>
        <v/>
      </c>
      <c r="I5" s="3" t="inlineStr">
        <is>
          <t>Feature B</t>
        </is>
      </c>
      <c r="J5" s="3" t="inlineStr">
        <is>
          <t>Formation lundi</t>
        </is>
      </c>
    </row>
    <row r="7">
      <c r="A7" s="4" t="inlineStr">
        <is>
          <t>TOTAL</t>
        </is>
      </c>
      <c r="D7" s="4">
        <f>SUM(D2:D6)</f>
        <v/>
      </c>
      <c r="F7" s="4">
        <f>SUM(F2:F6)</f>
        <v/>
      </c>
      <c r="H7" s="5">
        <f>SUM(H2:H6)</f>
        <v/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2026-04-08T08:24:42Z</dcterms:created>
  <dcterms:modified xmlns:dcterms="http://purl.org/dc/terms/" xmlns:xsi="http://www.w3.org/2001/XMLSchema-instance" xsi:type="dcterms:W3CDTF">2026-04-08T09:50:17Z</dcterms:modified>
</cp:coreProperties>
</file>