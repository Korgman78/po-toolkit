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RICE Scoring" sheetId="2" state="visible" r:id="rId2"/>
    <sheet xmlns:r="http://schemas.openxmlformats.org/officeDocument/2006/relationships" name="Legende" sheetId="3" state="visible" r:id="rId3"/>
  </sheets>
  <definedNames>
    <definedName name="_xlnm._FilterDatabase" localSheetId="1" hidden="1">'RICE Scoring'!$A$1:$I$6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6366F1"/>
    </font>
    <font>
      <name val="Calibri"/>
      <b val="1"/>
      <color rgb="006366F1"/>
      <sz val="16"/>
    </font>
    <font>
      <name val="Calibri"/>
      <i val="1"/>
      <color rgb="005A5F7A"/>
      <sz val="11"/>
    </font>
    <font>
      <name val="Calibri"/>
      <b val="1"/>
      <color rgb="001A1D2E"/>
      <sz val="12"/>
    </font>
    <font>
      <name val="Calibri"/>
      <color rgb="005A5F7A"/>
      <sz val="11"/>
    </font>
    <font>
      <name val="Calibri"/>
      <b val="1"/>
      <color rgb="006366F1"/>
      <sz val="11"/>
    </font>
    <font>
      <name val="Calibri"/>
      <b val="1"/>
      <color rgb="001A1D2E"/>
      <sz val="11"/>
    </font>
    <font>
      <name val="Calibri"/>
      <color rgb="006366F1"/>
      <sz val="11"/>
    </font>
    <font>
      <name val="Calibri"/>
      <i val="1"/>
      <color rgb="00A0A4B8"/>
      <sz val="9"/>
    </font>
  </fonts>
  <fills count="4">
    <fill>
      <patternFill/>
    </fill>
    <fill>
      <patternFill patternType="gray125"/>
    </fill>
    <fill>
      <patternFill patternType="solid">
        <fgColor rgb="006366F1"/>
        <bgColor rgb="006366F1"/>
      </patternFill>
    </fill>
    <fill>
      <patternFill patternType="solid">
        <fgColor rgb="00F8F9FC"/>
        <bgColor rgb="00F8F9FC"/>
      </patternFill>
    </fill>
  </fills>
  <borders count="2">
    <border>
      <left/>
      <right/>
      <top/>
      <bottom/>
      <diagonal/>
    </border>
    <border>
      <left style="thin">
        <color rgb="00E5E7EF"/>
      </left>
      <right style="thin">
        <color rgb="00E5E7EF"/>
      </right>
      <top style="thin">
        <color rgb="00E5E7EF"/>
      </top>
      <bottom style="thin">
        <color rgb="00E5E7E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3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366F1"/>
    <outlinePr summaryBelow="1" summaryRight="1"/>
    <pageSetUpPr/>
  </sheetPr>
  <dimension ref="B2:C31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70" customWidth="1" min="3" max="3"/>
  </cols>
  <sheetData>
    <row r="2">
      <c r="B2" s="8" t="inlineStr">
        <is>
          <t>Matrice de Priorisation RICE</t>
        </is>
      </c>
    </row>
    <row r="3">
      <c r="B3" s="9" t="inlineStr">
        <is>
          <t>Accélérateur PO — Scoring objectif du backlog</t>
        </is>
      </c>
    </row>
    <row r="5">
      <c r="B5" s="10" t="inlineStr">
        <is>
          <t>POURQUOI cet outil ?</t>
        </is>
      </c>
    </row>
    <row r="6">
      <c r="B6" s="11" t="inlineStr">
        <is>
          <t>RICE élimine les biais subjectifs dans la priorisation du backlog.</t>
        </is>
      </c>
    </row>
    <row r="7">
      <c r="B7" s="11" t="inlineStr">
        <is>
          <t>Le score se calcule automatiquement : (Reach × Impact × Confidence) ÷ Effort.</t>
        </is>
      </c>
    </row>
    <row r="8">
      <c r="B8" s="11" t="inlineStr">
        <is>
          <t>Le classement permet de justifier les décisions auprès des stakeholders.</t>
        </is>
      </c>
    </row>
    <row r="9">
      <c r="B9" s="11" t="inlineStr">
        <is>
          <t>Développé par Intercom, éprouvé par des milliers d'équipes produit.</t>
        </is>
      </c>
    </row>
    <row r="11">
      <c r="B11" s="10" t="inlineStr">
        <is>
          <t>COMMENT l'utiliser ?</t>
        </is>
      </c>
    </row>
    <row r="12">
      <c r="B12" s="12" t="inlineStr">
        <is>
          <t>1.</t>
        </is>
      </c>
      <c r="C12" s="11" t="inlineStr">
        <is>
          <t>Listez vos features/stories candidates dans la colonne Feature.</t>
        </is>
      </c>
    </row>
    <row r="13">
      <c r="B13" s="12" t="inlineStr">
        <is>
          <t>2.</t>
        </is>
      </c>
      <c r="C13" s="11" t="inlineStr">
        <is>
          <t>Estimez le Reach : combien d'utilisateurs touchés par trimestre.</t>
        </is>
      </c>
    </row>
    <row r="14">
      <c r="B14" s="12" t="inlineStr">
        <is>
          <t>3.</t>
        </is>
      </c>
      <c r="C14" s="11" t="inlineStr">
        <is>
          <t>Évaluez l'Impact par utilisateur (3=massif, 2=haut, 1=moyen, 0.5=faible, 0.25=minimal).</t>
        </is>
      </c>
    </row>
    <row r="15">
      <c r="B15" s="12" t="inlineStr">
        <is>
          <t>4.</t>
        </is>
      </c>
      <c r="C15" s="11" t="inlineStr">
        <is>
          <t>Définissez votre Confidence (100%=données solides, 50%=intuition).</t>
        </is>
      </c>
    </row>
    <row r="16">
      <c r="B16" s="12" t="inlineStr">
        <is>
          <t>5.</t>
        </is>
      </c>
      <c r="C16" s="11" t="inlineStr">
        <is>
          <t>Estimez l'Effort en person-months.</t>
        </is>
      </c>
    </row>
    <row r="17">
      <c r="B17" s="12" t="inlineStr">
        <is>
          <t>6.</t>
        </is>
      </c>
      <c r="C17" s="11" t="inlineStr">
        <is>
          <t>Le score RICE et le rang se calculent automatiquement.</t>
        </is>
      </c>
    </row>
    <row r="18">
      <c r="B18" s="12" t="inlineStr">
        <is>
          <t>7.</t>
        </is>
      </c>
      <c r="C18" s="11" t="inlineStr">
        <is>
          <t>Prenez votre décision (Go/No Go/À valider/Reporter).</t>
        </is>
      </c>
    </row>
    <row r="20">
      <c r="B20" s="10" t="inlineStr">
        <is>
          <t>STRUCTURE des onglets</t>
        </is>
      </c>
    </row>
    <row r="21">
      <c r="B21" s="13" t="inlineStr">
        <is>
          <t>RICE Scoring</t>
        </is>
      </c>
      <c r="C21" s="11" t="inlineStr">
        <is>
          <t>Tableau de scoring avec formules automatiques et classement.</t>
        </is>
      </c>
    </row>
    <row r="22">
      <c r="B22" s="13" t="inlineStr">
        <is>
          <t>Légende</t>
        </is>
      </c>
      <c r="C22" s="11" t="inlineStr">
        <is>
          <t>Explication détaillée de chaque composante RICE.</t>
        </is>
      </c>
    </row>
    <row r="24">
      <c r="B24" s="10" t="inlineStr">
        <is>
          <t>TIPS &amp; BONNES PRATIQUES</t>
        </is>
      </c>
    </row>
    <row r="25">
      <c r="B25" s="14" t="inlineStr">
        <is>
          <t>→</t>
        </is>
      </c>
      <c r="C25" s="11" t="inlineStr">
        <is>
          <t>Soyez honnête sur la Confidence — c'est la variable la plus souvent surestimée.</t>
        </is>
      </c>
    </row>
    <row r="26">
      <c r="B26" s="14" t="inlineStr">
        <is>
          <t>→</t>
        </is>
      </c>
      <c r="C26" s="11" t="inlineStr">
        <is>
          <t>Revoyez les scores tous les trimestres.</t>
        </is>
      </c>
    </row>
    <row r="27">
      <c r="B27" s="14" t="inlineStr">
        <is>
          <t>→</t>
        </is>
      </c>
      <c r="C27" s="11" t="inlineStr">
        <is>
          <t>Un score élevé ne dispense pas de valider avec les stakeholders.</t>
        </is>
      </c>
    </row>
    <row r="28">
      <c r="B28" s="14" t="inlineStr">
        <is>
          <t>→</t>
        </is>
      </c>
      <c r="C28" s="11" t="inlineStr">
        <is>
          <t>Comparez toujours au moins 5 items pour que le classement ait du sens.</t>
        </is>
      </c>
    </row>
    <row r="31">
      <c r="B31" s="15" t="inlineStr">
        <is>
          <t>PO Ultimate Toolkit</t>
        </is>
      </c>
    </row>
  </sheetData>
  <mergeCells count="4">
    <mergeCell ref="B8:C8"/>
    <mergeCell ref="B6:C6"/>
    <mergeCell ref="B9:C9"/>
    <mergeCell ref="B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855F7"/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16" customWidth="1" min="4" max="4"/>
    <col width="16" customWidth="1" min="5" max="5"/>
    <col width="18" customWidth="1" min="6" max="6"/>
    <col width="14" customWidth="1" min="7" max="7"/>
    <col width="8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Reach (users/Q)</t>
        </is>
      </c>
      <c r="D1" s="1" t="inlineStr">
        <is>
          <t>Impact (0.25-3)</t>
        </is>
      </c>
      <c r="E1" s="1" t="inlineStr">
        <is>
          <t>Confidence (%)</t>
        </is>
      </c>
      <c r="F1" s="1" t="inlineStr">
        <is>
          <t>Effort (person-m)</t>
        </is>
      </c>
      <c r="G1" s="1" t="inlineStr">
        <is>
          <t>RICE Score</t>
        </is>
      </c>
      <c r="H1" s="1" t="inlineStr">
        <is>
          <t>Rang</t>
        </is>
      </c>
      <c r="I1" s="1" t="inlineStr">
        <is>
          <t>Decision</t>
        </is>
      </c>
    </row>
    <row r="2">
      <c r="A2" s="2" t="inlineStr">
        <is>
          <t>F-001</t>
        </is>
      </c>
      <c r="B2" s="2" t="inlineStr">
        <is>
          <t>Onboarding interactif</t>
        </is>
      </c>
      <c r="C2" s="2" t="n">
        <v>5000</v>
      </c>
      <c r="D2" s="2" t="n">
        <v>3</v>
      </c>
      <c r="E2" s="2" t="n">
        <v>80</v>
      </c>
      <c r="F2" s="2" t="n">
        <v>2</v>
      </c>
      <c r="G2" s="3">
        <f>IF(F2&gt;0,(C2*D2*(E2/100))/F2,"")</f>
        <v/>
      </c>
      <c r="H2" s="2">
        <f>IF(G2&lt;&gt;"",RANK(G2,G$2:G$500,0),"")</f>
        <v/>
      </c>
      <c r="I2" s="2" t="inlineStr"/>
    </row>
    <row r="3">
      <c r="A3" s="4" t="inlineStr">
        <is>
          <t>F-002</t>
        </is>
      </c>
      <c r="B3" s="4" t="inlineStr">
        <is>
          <t>Export PDF rapports</t>
        </is>
      </c>
      <c r="C3" s="4" t="n">
        <v>2000</v>
      </c>
      <c r="D3" s="4" t="n">
        <v>2</v>
      </c>
      <c r="E3" s="4" t="n">
        <v>90</v>
      </c>
      <c r="F3" s="4" t="n">
        <v>1</v>
      </c>
      <c r="G3" s="5">
        <f>IF(F3&gt;0,(C3*D3*(E3/100))/F3,"")</f>
        <v/>
      </c>
      <c r="H3" s="4">
        <f>IF(G3&lt;&gt;"",RANK(G3,G$2:G$500,0),"")</f>
        <v/>
      </c>
      <c r="I3" s="4" t="inlineStr"/>
    </row>
    <row r="4">
      <c r="A4" s="2" t="inlineStr">
        <is>
          <t>F-003</t>
        </is>
      </c>
      <c r="B4" s="2" t="inlineStr">
        <is>
          <t>Integ Slack notifs</t>
        </is>
      </c>
      <c r="C4" s="2" t="n">
        <v>3000</v>
      </c>
      <c r="D4" s="2" t="n">
        <v>1</v>
      </c>
      <c r="E4" s="2" t="n">
        <v>70</v>
      </c>
      <c r="F4" s="2" t="n">
        <v>0.5</v>
      </c>
      <c r="G4" s="3">
        <f>IF(F4&gt;0,(C4*D4*(E4/100))/F4,"")</f>
        <v/>
      </c>
      <c r="H4" s="2">
        <f>IF(G4&lt;&gt;"",RANK(G4,G$2:G$500,0),"")</f>
        <v/>
      </c>
      <c r="I4" s="2" t="inlineStr"/>
    </row>
    <row r="5">
      <c r="A5" s="4" t="inlineStr">
        <is>
          <t>F-004</t>
        </is>
      </c>
      <c r="B5" s="4" t="inlineStr">
        <is>
          <t>Mode hors-ligne</t>
        </is>
      </c>
      <c r="C5" s="4" t="n">
        <v>1000</v>
      </c>
      <c r="D5" s="4" t="n">
        <v>2</v>
      </c>
      <c r="E5" s="4" t="n">
        <v>50</v>
      </c>
      <c r="F5" s="4" t="n">
        <v>4</v>
      </c>
      <c r="G5" s="5">
        <f>IF(F5&gt;0,(C5*D5*(E5/100))/F5,"")</f>
        <v/>
      </c>
      <c r="H5" s="4">
        <f>IF(G5&lt;&gt;"",RANK(G5,G$2:G$500,0),"")</f>
        <v/>
      </c>
      <c r="I5" s="4" t="inlineStr"/>
    </row>
    <row r="6">
      <c r="A6" s="2" t="inlineStr">
        <is>
          <t>F-005</t>
        </is>
      </c>
      <c r="B6" s="2" t="inlineStr">
        <is>
          <t>Dashboard analytics</t>
        </is>
      </c>
      <c r="C6" s="2" t="n">
        <v>4000</v>
      </c>
      <c r="D6" s="2" t="n">
        <v>3</v>
      </c>
      <c r="E6" s="2" t="n">
        <v>60</v>
      </c>
      <c r="F6" s="2" t="n">
        <v>3</v>
      </c>
      <c r="G6" s="3">
        <f>IF(F6&gt;0,(C6*D6*(E6/100))/F6,"")</f>
        <v/>
      </c>
      <c r="H6" s="2">
        <f>IF(G6&lt;&gt;"",RANK(G6,G$2:G$500,0),"")</f>
        <v/>
      </c>
      <c r="I6" s="2" t="inlineStr"/>
    </row>
  </sheetData>
  <autoFilter ref="A1:I6"/>
  <dataValidations count="3">
    <dataValidation sqref="D2:D500" showDropDown="0" showInputMessage="0" showErrorMessage="0" allowBlank="1" type="list">
      <formula1>"0.25,0.5,1,2,3"</formula1>
    </dataValidation>
    <dataValidation sqref="E2:E500" showDropDown="0" showInputMessage="0" showErrorMessage="0" allowBlank="1" type="list">
      <formula1>"100,80,60,50,40,20"</formula1>
    </dataValidation>
    <dataValidation sqref="I2:I500" showDropDown="0" showInputMessage="0" showErrorMessage="0" allowBlank="1" type="list">
      <formula1>"Go,No Go,A valider,Reporter"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55" customWidth="1" min="3" max="3"/>
  </cols>
  <sheetData>
    <row r="1">
      <c r="A1" s="6" t="inlineStr">
        <is>
          <t>Composante</t>
        </is>
      </c>
      <c r="B1" s="6" t="inlineStr">
        <is>
          <t>Description</t>
        </is>
      </c>
      <c r="C1" s="6" t="inlineStr">
        <is>
          <t>Echelle</t>
        </is>
      </c>
    </row>
    <row r="2">
      <c r="A2" s="7" t="inlineStr">
        <is>
          <t>Reach</t>
        </is>
      </c>
      <c r="B2" s="7" t="inlineStr">
        <is>
          <t>Nb utilisateurs touches / trimestre</t>
        </is>
      </c>
      <c r="C2" s="7" t="inlineStr">
        <is>
          <t>Nombre absolu</t>
        </is>
      </c>
    </row>
    <row r="3">
      <c r="A3" s="7" t="inlineStr">
        <is>
          <t>Impact</t>
        </is>
      </c>
      <c r="B3" s="7" t="inlineStr">
        <is>
          <t>Impact par user sur objectif</t>
        </is>
      </c>
      <c r="C3" s="7" t="inlineStr">
        <is>
          <t>3=massif 2=haut 1=moyen 0.5=faible 0.25=minimal</t>
        </is>
      </c>
    </row>
    <row r="4">
      <c r="A4" s="7" t="inlineStr">
        <is>
          <t>Confidence</t>
        </is>
      </c>
      <c r="B4" s="7" t="inlineStr">
        <is>
          <t>Certitude des estimations</t>
        </is>
      </c>
      <c r="C4" s="7" t="inlineStr">
        <is>
          <t>100%=haute 80%=moyenne 50%=faible</t>
        </is>
      </c>
    </row>
    <row r="5">
      <c r="A5" s="7" t="inlineStr">
        <is>
          <t>Effort</t>
        </is>
      </c>
      <c r="B5" s="7" t="inlineStr">
        <is>
          <t>Effort en person-months</t>
        </is>
      </c>
      <c r="C5" s="7" t="inlineStr">
        <is>
          <t>0.5, 1, 2, 3...</t>
        </is>
      </c>
    </row>
    <row r="6">
      <c r="A6" s="7" t="inlineStr"/>
      <c r="B6" s="7" t="inlineStr"/>
      <c r="C6" s="7" t="inlineStr"/>
    </row>
    <row r="7">
      <c r="A7" s="7" t="inlineStr">
        <is>
          <t>Formule</t>
        </is>
      </c>
      <c r="B7" s="7" t="inlineStr">
        <is>
          <t>RICE = (Reach x Impact x Confidence%) / Effort</t>
        </is>
      </c>
      <c r="C7" s="7" t="inlineStr">
        <is>
          <t>Plus le score est haut, plus prioritaire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2026-04-08T08:24:42Z</dcterms:created>
  <dcterms:modified xmlns:dcterms="http://purl.org/dc/terms/" xmlns:xsi="http://www.w3.org/2001/XMLSchema-instance" xsi:type="dcterms:W3CDTF">2026-04-08T09:50:17Z</dcterms:modified>
</cp:coreProperties>
</file>